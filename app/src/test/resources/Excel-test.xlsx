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s" sheetId="1" state="visible" r:id="rId1"/>
    <sheet name="Refs" sheetId="2" state="visible" r:id="rId2"/>
    <sheet name="Table" sheetId="3" state="visible" r:id="rId3"/>
    <sheet name="Formats" sheetId="4" state="visible" r:id="rId4"/>
  </sheets>
  <definedNames>
    <definedName name="scores">Rows!$B$3:$B$12</definedName>
    <definedName name="_xlnm.Print_Area" localSheetId="0">'Rows'!$A$1:$D$16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dd/mm/yyyy"/>
    <numFmt numFmtId="166" formatCode="#,##0.00 &quot;€&quot;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FFFF0000"/>
    </font>
    <font>
      <name val="Arial"/>
      <sz val="20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107C4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0" fontId="0" fillId="0" borderId="2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'Rows'!B2</f>
            </strRef>
          </tx>
          <spPr>
            <a:ln>
              <a:prstDash val="solid"/>
            </a:ln>
          </spPr>
          <cat>
            <numRef>
              <f>'Rows'!$A$3:$A$12</f>
            </numRef>
          </cat>
          <val>
            <numRef>
              <f>'Rows'!$B$3:$B$12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Teo</author>
  </authors>
  <commentList>
    <comment ref="B5" authorId="0" shapeId="0">
      <text>
        <t>Check this score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360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17</row>
      <rowOff>0</rowOff>
    </from>
    <ext cx="57150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Supplies" displayName="Supplies" ref="A1:D6" headerRowCount="1">
  <autoFilter ref="A1:D6"/>
  <tableColumns count="4">
    <tableColumn id="1" name="Item"/>
    <tableColumn id="2" name="Qty"/>
    <tableColumn id="3" name="Price"/>
    <tableColumn id="4" name="Cos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Refs!A1" TargetMode="External" Id="rId1" /><Relationship Type="http://schemas.openxmlformats.org/officeDocument/2006/relationships/drawing" Target="/xl/drawings/drawing1.xm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Grades 2026</t>
        </is>
      </c>
    </row>
    <row r="2">
      <c r="A2" t="inlineStr">
        <is>
          <t>Name</t>
        </is>
      </c>
      <c r="B2" t="inlineStr">
        <is>
          <t>Score</t>
        </is>
      </c>
      <c r="C2" t="inlineStr">
        <is>
          <t>Double</t>
        </is>
      </c>
      <c r="D2" t="inlineStr">
        <is>
          <t>Pass</t>
        </is>
      </c>
    </row>
    <row r="3">
      <c r="A3" t="inlineStr">
        <is>
          <t>Αλεξίου</t>
        </is>
      </c>
      <c r="B3" t="n">
        <v>10</v>
      </c>
      <c r="C3">
        <f>B3*2</f>
        <v/>
      </c>
      <c r="D3">
        <f>IF(B3&gt;=15,"yes","no")</f>
        <v/>
      </c>
    </row>
    <row r="4">
      <c r="A4" t="inlineStr">
        <is>
          <t>Βασιλείου</t>
        </is>
      </c>
      <c r="B4" t="n">
        <v>11.5</v>
      </c>
      <c r="C4">
        <f>B4*2</f>
        <v/>
      </c>
      <c r="D4">
        <f>IF(B4&gt;=15,"yes","no")</f>
        <v/>
      </c>
    </row>
    <row r="5">
      <c r="A5" t="inlineStr">
        <is>
          <t>Γεωργίου</t>
        </is>
      </c>
      <c r="B5" t="n">
        <v>13</v>
      </c>
      <c r="C5">
        <f>B5*2</f>
        <v/>
      </c>
      <c r="D5">
        <f>IF(B5&gt;=15,"yes","no")</f>
        <v/>
      </c>
    </row>
    <row r="6">
      <c r="A6" t="inlineStr">
        <is>
          <t>Δήμου</t>
        </is>
      </c>
      <c r="B6" t="n">
        <v>14.5</v>
      </c>
      <c r="C6">
        <f>B6*2</f>
        <v/>
      </c>
      <c r="D6">
        <f>IF(B6&gt;=15,"yes","no")</f>
        <v/>
      </c>
    </row>
    <row r="7">
      <c r="A7" t="inlineStr">
        <is>
          <t>Ελένη</t>
        </is>
      </c>
      <c r="B7" t="n">
        <v>16</v>
      </c>
      <c r="C7">
        <f>B7*2</f>
        <v/>
      </c>
      <c r="D7">
        <f>IF(B7&gt;=15,"yes","no")</f>
        <v/>
      </c>
    </row>
    <row r="8">
      <c r="A8" t="inlineStr">
        <is>
          <t>Ζαχαρίου</t>
        </is>
      </c>
      <c r="B8" t="n">
        <v>17.5</v>
      </c>
      <c r="C8">
        <f>B8*2</f>
        <v/>
      </c>
      <c r="D8">
        <f>IF(B8&gt;=15,"yes","no")</f>
        <v/>
      </c>
    </row>
    <row r="9">
      <c r="A9" t="inlineStr">
        <is>
          <t>Θεοδώρου</t>
        </is>
      </c>
      <c r="B9" t="n">
        <v>19</v>
      </c>
      <c r="C9">
        <f>B9*2</f>
        <v/>
      </c>
      <c r="D9">
        <f>IF(B9&gt;=15,"yes","no")</f>
        <v/>
      </c>
    </row>
    <row r="10">
      <c r="A10" t="inlineStr">
        <is>
          <t>Ιωάννου</t>
        </is>
      </c>
      <c r="B10" t="n">
        <v>20.5</v>
      </c>
      <c r="C10">
        <f>B10*2</f>
        <v/>
      </c>
      <c r="D10">
        <f>IF(B10&gt;=15,"yes","no")</f>
        <v/>
      </c>
    </row>
    <row r="11">
      <c r="A11" t="inlineStr">
        <is>
          <t>Κώστα</t>
        </is>
      </c>
      <c r="B11" t="n">
        <v>22</v>
      </c>
      <c r="C11">
        <f>B11*2</f>
        <v/>
      </c>
      <c r="D11">
        <f>IF(B11&gt;=15,"yes","no")</f>
        <v/>
      </c>
    </row>
    <row r="12">
      <c r="A12" t="inlineStr">
        <is>
          <t>Λάμπρου</t>
        </is>
      </c>
      <c r="B12" t="n">
        <v>23.5</v>
      </c>
      <c r="C12">
        <f>B12*2</f>
        <v/>
      </c>
      <c r="D12">
        <f>IF(B12&gt;=15,"yes","no")</f>
        <v/>
      </c>
    </row>
    <row r="14">
      <c r="A14" t="inlineStr">
        <is>
          <t>Total</t>
        </is>
      </c>
      <c r="B14">
        <f>SUM(B3:B12)</f>
        <v/>
      </c>
      <c r="C14">
        <f>SUM(C3:C12)</f>
        <v/>
      </c>
      <c r="D14">
        <f>COUNTIF(D3:D12,"yes")</f>
        <v/>
      </c>
    </row>
    <row r="15">
      <c r="A15" t="inlineStr">
        <is>
          <t>Average</t>
        </is>
      </c>
      <c r="B15">
        <f>AVERAGE(B$3:B$12)</f>
        <v/>
      </c>
    </row>
    <row r="16">
      <c r="A16" t="inlineStr">
        <is>
          <t>Link</t>
        </is>
      </c>
      <c r="B16" t="inlineStr">
        <is>
          <t>to Refs</t>
        </is>
      </c>
    </row>
  </sheetData>
  <mergeCells count="1">
    <mergeCell ref="A1:D1"/>
  </mergeCells>
  <conditionalFormatting sqref="B3:B12">
    <cfRule type="cellIs" priority="1" operator="greaterThan" dxfId="0">
      <formula>20</formula>
    </cfRule>
  </conditionalFormatting>
  <dataValidations count="1">
    <dataValidation sqref="D3:D12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B16" r:id="rId1"/>
  </hyperlinks>
  <pageMargins left="0.75" right="0.75" top="1" bottom="1" header="0.5" footer="0.5"/>
  <drawing xmlns:r="http://schemas.openxmlformats.org/officeDocument/2006/relationships" r:id="rId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 of scores</t>
        </is>
      </c>
      <c r="B1">
        <f>SUM(Rows!B3:B12)</f>
        <v/>
      </c>
    </row>
    <row r="2">
      <c r="A2" t="inlineStr">
        <is>
          <t>Ελένη's score</t>
        </is>
      </c>
      <c r="B2">
        <f>Rows!B7</f>
        <v/>
      </c>
    </row>
    <row r="3">
      <c r="A3" t="inlineStr">
        <is>
          <t>Names</t>
        </is>
      </c>
      <c r="B3">
        <f>COUNTA(Rows!A:A)</f>
        <v/>
      </c>
    </row>
    <row r="4">
      <c r="A4" t="inlineStr">
        <is>
          <t>Lookup</t>
        </is>
      </c>
      <c r="B4">
        <f>VLOOKUP("Δήμου",Rows!A3:B12,2,FALSE)</f>
        <v/>
      </c>
    </row>
    <row r="5">
      <c r="A5" t="inlineStr">
        <is>
          <t>Named</t>
        </is>
      </c>
      <c r="B5">
        <f>SUM(scores)</f>
        <v/>
      </c>
    </row>
    <row r="6">
      <c r="A6" t="inlineStr">
        <is>
          <t>Own</t>
        </is>
      </c>
      <c r="B6">
        <f>B1+B2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Qty</t>
        </is>
      </c>
      <c r="C1" t="inlineStr">
        <is>
          <t>Price</t>
        </is>
      </c>
      <c r="D1" t="inlineStr">
        <is>
          <t>Cost</t>
        </is>
      </c>
    </row>
    <row r="2">
      <c r="A2" t="inlineStr">
        <is>
          <t>Pens</t>
        </is>
      </c>
      <c r="B2" t="n">
        <v>10</v>
      </c>
      <c r="C2" t="n">
        <v>1.2</v>
      </c>
      <c r="D2">
        <f>B2*C2</f>
        <v/>
      </c>
    </row>
    <row r="3">
      <c r="A3" t="inlineStr">
        <is>
          <t>Paper</t>
        </is>
      </c>
      <c r="B3" t="n">
        <v>5</v>
      </c>
      <c r="C3" t="n">
        <v>4.5</v>
      </c>
      <c r="D3">
        <f>B3*C3</f>
        <v/>
      </c>
    </row>
    <row r="4">
      <c r="A4" t="inlineStr">
        <is>
          <t>Ink</t>
        </is>
      </c>
      <c r="B4" t="n">
        <v>2</v>
      </c>
      <c r="C4" t="n">
        <v>19.9</v>
      </c>
      <c r="D4">
        <f>B4*C4</f>
        <v/>
      </c>
    </row>
    <row r="5">
      <c r="A5" t="inlineStr">
        <is>
          <t>Tape</t>
        </is>
      </c>
      <c r="B5" t="n">
        <v>7</v>
      </c>
      <c r="C5" t="n">
        <v>2.25</v>
      </c>
      <c r="D5">
        <f>B5*C5</f>
        <v/>
      </c>
    </row>
    <row r="6">
      <c r="A6" t="inlineStr">
        <is>
          <t>Clips</t>
        </is>
      </c>
      <c r="B6" t="n">
        <v>30</v>
      </c>
      <c r="C6" t="n">
        <v>0.1</v>
      </c>
      <c r="D6">
        <f>B6*C6</f>
        <v/>
      </c>
    </row>
    <row r="8">
      <c r="C8" t="inlineStr">
        <is>
          <t>Total</t>
        </is>
      </c>
      <c r="D8">
        <f>SUM(D2:D6)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</cols>
  <sheetData>
    <row r="1">
      <c r="A1" s="2" t="inlineStr">
        <is>
          <t>Bold</t>
        </is>
      </c>
      <c r="B1" s="3" t="n">
        <v>1234.5</v>
      </c>
    </row>
    <row r="2">
      <c r="A2" s="4" t="inlineStr">
        <is>
          <t>Italic red</t>
        </is>
      </c>
      <c r="B2" s="5" t="n">
        <v>0.256</v>
      </c>
    </row>
    <row r="3">
      <c r="A3" s="6" t="inlineStr">
        <is>
          <t>Yellow fill</t>
        </is>
      </c>
      <c r="B3" s="7" t="n">
        <v>46310</v>
      </c>
    </row>
    <row r="4">
      <c r="A4" s="8" t="inlineStr">
        <is>
          <t>Boxed</t>
        </is>
      </c>
      <c r="B4" s="9" t="n">
        <v>1234.5</v>
      </c>
    </row>
    <row r="5">
      <c r="A5" s="10" t="inlineStr">
        <is>
          <t>Thick bottom</t>
        </is>
      </c>
      <c r="B5" s="11" t="n">
        <v>12</v>
      </c>
    </row>
    <row r="6">
      <c r="A6" s="12" t="inlineStr">
        <is>
          <t>Centred</t>
        </is>
      </c>
    </row>
    <row r="7">
      <c r="A7" s="13" t="inlineStr">
        <is>
          <t>Wrapped text that runs on and 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2026-10-16T04:19:04Z</dcterms:created>
  <dcterms:modified xsi:type="dcterms:W3CDTF">2026-10-16T04:19:04Z</dcterms:modified>
</cp:coreProperties>
</file>