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lc" sheetId="1" state="visible" r:id="rId3"/>
    <sheet name="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<sst xmlns="http://schemas.openxmlformats.org/spreadsheetml/2006/main" count="31" uniqueCount="27">
  <si>
    <t xml:space="preserve">Name</t>
  </si>
  <si>
    <t xml:space="preserve">Score</t>
  </si>
  <si>
    <t xml:space="preserve">Town</t>
  </si>
  <si>
    <t xml:space="preserve">Date</t>
  </si>
  <si>
    <t xml:space="preserve">Ok</t>
  </si>
  <si>
    <t xml:space="preserve">Αλεξίου</t>
  </si>
  <si>
    <t xml:space="preserve">Αθήνα</t>
  </si>
  <si>
    <t xml:space="preserve">Βασιλείου</t>
  </si>
  <si>
    <t xml:space="preserve">Πάτρα</t>
  </si>
  <si>
    <t xml:space="preserve">Γεωργίου</t>
  </si>
  <si>
    <t xml:space="preserve">Δήμου</t>
  </si>
  <si>
    <t xml:space="preserve">Λάρισα</t>
  </si>
  <si>
    <t xml:space="preserve">Ελένη</t>
  </si>
  <si>
    <t xml:space="preserve">7</t>
  </si>
  <si>
    <t xml:space="preserve">Ζαχαρίου</t>
  </si>
  <si>
    <t xml:space="preserve">αθήνα</t>
  </si>
  <si>
    <t xml:space="preserve">Θεοδώρου</t>
  </si>
  <si>
    <t xml:space="preserve">Βόλος</t>
  </si>
  <si>
    <t xml:space="preserve">apple pie</t>
  </si>
  <si>
    <t xml:space="preserve">Banana</t>
  </si>
  <si>
    <t xml:space="preserve">cherry</t>
  </si>
  <si>
    <t xml:space="preserve">k</t>
  </si>
  <si>
    <t xml:space="preserve">v</t>
  </si>
  <si>
    <t xml:space="preserve">a</t>
  </si>
  <si>
    <t xml:space="preserve">b</t>
  </si>
  <si>
    <t xml:space="preserve">c</t>
  </si>
  <si>
    <t xml:space="preserve">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</si>
</sst>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0.00%"/>
    <numFmt numFmtId="167" formatCode="dd/mm/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G1" s="0" t="n">
        <f aca="false">SUM(B2:B11)</f>
        <v>136.426</v>
      </c>
    </row>
    <row r="2" customFormat="false" ht="15" hidden="false" customHeight="false" outlineLevel="0" collapsed="false">
      <c r="A2" s="0" t="s">
        <v>5</v>
      </c>
      <c r="B2" s="0" t="n">
        <v>12.5</v>
      </c>
      <c r="C2" s="0" t="s">
        <v>6</v>
      </c>
      <c r="D2" s="1" t="n">
        <v>46096</v>
      </c>
      <c r="E2" s="2" t="b">
        <f aca="false">TRUE()</f>
        <v>1</v>
      </c>
      <c r="G2" s="0" t="n">
        <f aca="false">SUM(B:B)</f>
        <v>136.426</v>
      </c>
    </row>
    <row r="3" customFormat="false" ht="15" hidden="false" customHeight="false" outlineLevel="0" collapsed="false">
      <c r="A3" s="0" t="s">
        <v>7</v>
      </c>
      <c r="B3" s="0" t="n">
        <v>9</v>
      </c>
      <c r="C3" s="0" t="s">
        <v>8</v>
      </c>
      <c r="D3" s="1" t="n">
        <v>46022</v>
      </c>
      <c r="E3" s="2" t="b">
        <f aca="false">FALSE()</f>
        <v>0</v>
      </c>
      <c r="G3" s="0" t="n">
        <f aca="false">AVERAGE(B2:B11)</f>
        <v>17.05325</v>
      </c>
    </row>
    <row r="4" customFormat="false" ht="15" hidden="false" customHeight="false" outlineLevel="0" collapsed="false">
      <c r="A4" s="0" t="s">
        <v>9</v>
      </c>
      <c r="C4" s="0" t="s">
        <v>6</v>
      </c>
      <c r="D4" s="1" t="n">
        <v>46023</v>
      </c>
      <c r="E4" s="2" t="b">
        <f aca="false">TRUE()</f>
        <v>1</v>
      </c>
      <c r="G4" s="0" t="n">
        <f aca="false">COUNT(B2:B11)</f>
        <v>8</v>
      </c>
    </row>
    <row r="5" customFormat="false" ht="15" hidden="false" customHeight="false" outlineLevel="0" collapsed="false">
      <c r="A5" s="0" t="s">
        <v>10</v>
      </c>
      <c r="B5" s="0" t="n">
        <v>15.25</v>
      </c>
      <c r="C5" s="0" t="s">
        <v>11</v>
      </c>
      <c r="D5" s="1" t="n">
        <v>45351</v>
      </c>
      <c r="E5" s="2" t="b">
        <f aca="false">TRUE()</f>
        <v>1</v>
      </c>
      <c r="G5" s="0" t="n">
        <f aca="false">COUNTA(A1:E11)</f>
        <v>53</v>
      </c>
    </row>
    <row r="6" customFormat="false" ht="15" hidden="false" customHeight="false" outlineLevel="0" collapsed="false">
      <c r="A6" s="0" t="s">
        <v>12</v>
      </c>
      <c r="B6" s="0" t="s">
        <v>13</v>
      </c>
      <c r="C6" s="0" t="s">
        <v>8</v>
      </c>
      <c r="D6" s="1" t="n">
        <v>46311</v>
      </c>
      <c r="E6" s="2" t="b">
        <f aca="false">FALSE()</f>
        <v>0</v>
      </c>
      <c r="G6" s="0" t="n">
        <f aca="false">COUNTBLANK(B2:B11)</f>
        <v>1</v>
      </c>
    </row>
    <row r="7" customFormat="false" ht="15" hidden="false" customHeight="false" outlineLevel="0" collapsed="false">
      <c r="A7" s="0" t="s">
        <v>14</v>
      </c>
      <c r="B7" s="0" t="n">
        <v>-3</v>
      </c>
      <c r="C7" s="0" t="s">
        <v>15</v>
      </c>
      <c r="D7" s="1" t="n">
        <v>36526</v>
      </c>
      <c r="E7" s="2" t="b">
        <f aca="false">TRUE()</f>
        <v>1</v>
      </c>
      <c r="G7" s="0" t="n">
        <f aca="false">MIN(B2:B11)</f>
        <v>-3</v>
      </c>
    </row>
    <row r="8" customFormat="false" ht="15" hidden="false" customHeight="false" outlineLevel="0" collapsed="false">
      <c r="A8" s="0" t="s">
        <v>16</v>
      </c>
      <c r="B8" s="0" t="n">
        <v>0</v>
      </c>
      <c r="C8" s="0" t="s">
        <v>17</v>
      </c>
      <c r="D8" s="1" t="n">
        <v>36525</v>
      </c>
      <c r="E8" s="2" t="b">
        <f aca="false">FALSE()</f>
        <v>0</v>
      </c>
      <c r="G8" s="0" t="n">
        <f aca="false">MAX(B2:B11)</f>
        <v>100</v>
      </c>
    </row>
    <row r="9" customFormat="false" ht="15" hidden="false" customHeight="false" outlineLevel="0" collapsed="false">
      <c r="A9" s="0" t="s">
        <v>18</v>
      </c>
      <c r="B9" s="0" t="n">
        <v>100</v>
      </c>
      <c r="C9" s="0" t="s">
        <v>17</v>
      </c>
      <c r="D9" s="1" t="n">
        <v>46081</v>
      </c>
      <c r="E9" s="2" t="b">
        <f aca="false">TRUE()</f>
        <v>1</v>
      </c>
      <c r="G9" s="0" t="n">
        <f aca="false">MEDIAN(B2:B11)</f>
        <v>5.8375</v>
      </c>
    </row>
    <row r="10" customFormat="false" ht="15" hidden="false" customHeight="false" outlineLevel="0" collapsed="false">
      <c r="A10" s="0" t="s">
        <v>19</v>
      </c>
      <c r="B10" s="0" t="n">
        <v>2.675</v>
      </c>
      <c r="D10" s="1" t="n">
        <v>46203</v>
      </c>
      <c r="E10" s="2" t="b">
        <f aca="false">FALSE()</f>
        <v>0</v>
      </c>
      <c r="G10" s="0" t="n">
        <f aca="false">PRODUCT(B2,B3,B5)</f>
        <v>1715.625</v>
      </c>
    </row>
    <row r="11" customFormat="false" ht="15" hidden="false" customHeight="false" outlineLevel="0" collapsed="false">
      <c r="A11" s="0" t="s">
        <v>20</v>
      </c>
      <c r="B11" s="0" t="n">
        <v>0.001</v>
      </c>
      <c r="C11" s="0" t="s">
        <v>6</v>
      </c>
      <c r="D11" s="1" t="n">
        <v>46204</v>
      </c>
      <c r="E11" s="2" t="b">
        <f aca="false">TRUE()</f>
        <v>1</v>
      </c>
      <c r="G11" s="0" t="n">
        <f aca="false">SUM(B2,3)</f>
        <v>15.5</v>
      </c>
    </row>
    <row r="12" customFormat="false" ht="15" hidden="false" customHeight="false" outlineLevel="0" collapsed="false">
      <c r="G12" s="0" t="n">
        <f aca="false">B2+B6</f>
        <v>19.5</v>
      </c>
    </row>
    <row r="13" customFormat="false" ht="15" hidden="false" customHeight="false" outlineLevel="0" collapsed="false">
      <c r="G13" s="0" t="n">
        <f aca="false">B6*2</f>
        <v>14</v>
      </c>
    </row>
    <row r="14" customFormat="false" ht="15" hidden="false" customHeight="false" outlineLevel="0" collapsed="false">
      <c r="G14" s="0" t="n">
        <f aca="false">B4+1</f>
        <v>1</v>
      </c>
    </row>
    <row r="15" customFormat="false" ht="15" hidden="false" customHeight="false" outlineLevel="0" collapsed="false">
      <c r="G15" s="0" t="str">
        <f aca="false">A2&amp;" "&amp;C2</f>
        <v>Αλεξίου Αθήνα</v>
      </c>
    </row>
    <row r="16" customFormat="false" ht="15" hidden="false" customHeight="false" outlineLevel="0" collapsed="false">
      <c r="G16" s="0" t="e">
        <f aca="false">B2/B8</f>
        <v>#DIV/0!</v>
      </c>
    </row>
    <row r="17" customFormat="false" ht="15" hidden="false" customHeight="false" outlineLevel="0" collapsed="false">
      <c r="G17" s="0" t="n">
        <f aca="false">B2^2</f>
        <v>156.25</v>
      </c>
    </row>
    <row r="18" customFormat="false" ht="15" hidden="false" customHeight="false" outlineLevel="0" collapsed="false">
      <c r="G18" s="0" t="n">
        <f aca="false">-B7^2</f>
        <v>9</v>
      </c>
    </row>
    <row r="19" customFormat="false" ht="15" hidden="false" customHeight="false" outlineLevel="0" collapsed="false">
      <c r="G19" s="3" t="n">
        <f aca="false">10%</f>
        <v>0.1</v>
      </c>
    </row>
    <row r="20" customFormat="false" ht="15" hidden="false" customHeight="false" outlineLevel="0" collapsed="false">
      <c r="G20" s="2" t="b">
        <f aca="false">B2&gt;B3</f>
        <v>1</v>
      </c>
    </row>
    <row r="21" customFormat="false" ht="15" hidden="false" customHeight="false" outlineLevel="0" collapsed="false">
      <c r="G21" s="2" t="b">
        <f aca="false">A2="αλεξίου"</f>
        <v>1</v>
      </c>
    </row>
    <row r="22" customFormat="false" ht="15" hidden="false" customHeight="false" outlineLevel="0" collapsed="false">
      <c r="G22" s="2" t="b">
        <f aca="false">A2&lt;A3</f>
        <v>1</v>
      </c>
    </row>
    <row r="23" customFormat="false" ht="15" hidden="false" customHeight="false" outlineLevel="0" collapsed="false">
      <c r="G23" s="0" t="n">
        <f aca="false">1/3</f>
        <v>0.333333333333333</v>
      </c>
    </row>
    <row r="24" customFormat="false" ht="15" hidden="false" customHeight="false" outlineLevel="0" collapsed="false">
      <c r="G24" s="0" t="n">
        <f aca="false">ROUND(B11*1000+0.5,0)</f>
        <v>2</v>
      </c>
    </row>
    <row r="25" customFormat="false" ht="15" hidden="false" customHeight="false" outlineLevel="0" collapsed="false">
      <c r="G25" s="0" t="n">
        <f aca="false">ROUND(2.675,2)</f>
        <v>2.68</v>
      </c>
    </row>
    <row r="26" customFormat="false" ht="15" hidden="false" customHeight="false" outlineLevel="0" collapsed="false">
      <c r="G26" s="0" t="n">
        <f aca="false">ROUND(-2.5,0)</f>
        <v>-3</v>
      </c>
    </row>
    <row r="27" customFormat="false" ht="15" hidden="false" customHeight="false" outlineLevel="0" collapsed="false">
      <c r="G27" s="0" t="n">
        <f aca="false">ROUNDUP(1.21,1)</f>
        <v>1.3</v>
      </c>
    </row>
    <row r="28" customFormat="false" ht="15" hidden="false" customHeight="false" outlineLevel="0" collapsed="false">
      <c r="G28" s="0" t="n">
        <f aca="false">ROUNDDOWN(-1.29,1)</f>
        <v>-1.2</v>
      </c>
    </row>
    <row r="29" customFormat="false" ht="15" hidden="false" customHeight="false" outlineLevel="0" collapsed="false">
      <c r="G29" s="0" t="n">
        <f aca="false">ROUND(1234.5678,-2)</f>
        <v>1200</v>
      </c>
    </row>
    <row r="30" customFormat="false" ht="15" hidden="false" customHeight="false" outlineLevel="0" collapsed="false">
      <c r="G30" s="0" t="n">
        <f aca="false">INT(-2.5)</f>
        <v>-3</v>
      </c>
    </row>
    <row r="31" customFormat="false" ht="15" hidden="false" customHeight="false" outlineLevel="0" collapsed="false">
      <c r="G31" s="0" t="n">
        <f aca="false">TRUNC(-2.5)</f>
        <v>-2</v>
      </c>
    </row>
    <row r="32" customFormat="false" ht="15" hidden="false" customHeight="false" outlineLevel="0" collapsed="false">
      <c r="G32" s="0" t="n">
        <f aca="false">MOD(10,3)</f>
        <v>1</v>
      </c>
    </row>
    <row r="33" customFormat="false" ht="15" hidden="false" customHeight="false" outlineLevel="0" collapsed="false">
      <c r="G33" s="0" t="n">
        <f aca="false">MOD(-10,3)</f>
        <v>2</v>
      </c>
    </row>
    <row r="34" customFormat="false" ht="15" hidden="false" customHeight="false" outlineLevel="0" collapsed="false">
      <c r="G34" s="0" t="n">
        <f aca="false">MOD(10,-3)</f>
        <v>-2</v>
      </c>
    </row>
    <row r="35" customFormat="false" ht="15" hidden="false" customHeight="false" outlineLevel="0" collapsed="false">
      <c r="G35" s="0" t="n">
        <f aca="false">ABS(B7)</f>
        <v>3</v>
      </c>
    </row>
    <row r="36" customFormat="false" ht="15" hidden="false" customHeight="false" outlineLevel="0" collapsed="false">
      <c r="G36" s="0" t="n">
        <f aca="false">SQRT(16)</f>
        <v>4</v>
      </c>
    </row>
    <row r="37" customFormat="false" ht="15" hidden="false" customHeight="false" outlineLevel="0" collapsed="false">
      <c r="G37" s="0" t="n">
        <f aca="false">POWER(2,10)</f>
        <v>1024</v>
      </c>
    </row>
    <row r="38" customFormat="false" ht="15" hidden="false" customHeight="false" outlineLevel="0" collapsed="false">
      <c r="G38" s="0" t="n">
        <f aca="false">SIGN(B7)</f>
        <v>-1</v>
      </c>
    </row>
    <row r="39" customFormat="false" ht="15" hidden="false" customHeight="false" outlineLevel="0" collapsed="false">
      <c r="G39" s="0" t="n">
        <f aca="false">CEILING(2.1,1)</f>
        <v>3</v>
      </c>
    </row>
    <row r="40" customFormat="false" ht="15" hidden="false" customHeight="false" outlineLevel="0" collapsed="false">
      <c r="G40" s="0" t="n">
        <f aca="false">FLOOR(2.9,1)</f>
        <v>2</v>
      </c>
    </row>
    <row r="41" customFormat="false" ht="15" hidden="false" customHeight="false" outlineLevel="0" collapsed="false">
      <c r="G41" s="0" t="str">
        <f aca="false">IF(B2&gt;10,"big","small")</f>
        <v>big</v>
      </c>
    </row>
    <row r="42" customFormat="false" ht="15" hidden="false" customHeight="false" outlineLevel="0" collapsed="false">
      <c r="G42" s="0" t="str">
        <f aca="false">IF(B4,"yes","no")</f>
        <v>no</v>
      </c>
    </row>
    <row r="43" customFormat="false" ht="15" hidden="false" customHeight="false" outlineLevel="0" collapsed="false">
      <c r="G43" s="2" t="b">
        <f aca="false">IF(B3&gt;100,"x")</f>
        <v>0</v>
      </c>
    </row>
    <row r="44" customFormat="false" ht="15" hidden="false" customHeight="false" outlineLevel="0" collapsed="false">
      <c r="G44" s="0" t="str">
        <f aca="false">IFERROR(B2/B8,"div")</f>
        <v>div</v>
      </c>
    </row>
    <row r="45" customFormat="false" ht="15" hidden="false" customHeight="false" outlineLevel="0" collapsed="false">
      <c r="G45" s="0" t="n">
        <f aca="false">IFERROR(B2,"x")</f>
        <v>12.5</v>
      </c>
    </row>
    <row r="46" customFormat="false" ht="15" hidden="false" customHeight="false" outlineLevel="0" collapsed="false">
      <c r="G46" s="2" t="b">
        <f aca="false">AND(E2,E4)</f>
        <v>1</v>
      </c>
    </row>
    <row r="47" customFormat="false" ht="15" hidden="false" customHeight="false" outlineLevel="0" collapsed="false">
      <c r="G47" s="2" t="b">
        <f aca="false">OR(E3,E8)</f>
        <v>0</v>
      </c>
    </row>
    <row r="48" customFormat="false" ht="15" hidden="false" customHeight="false" outlineLevel="0" collapsed="false">
      <c r="G48" s="2" t="b">
        <f aca="false">NOT(E2)</f>
        <v>0</v>
      </c>
    </row>
    <row r="49" customFormat="false" ht="15" hidden="false" customHeight="false" outlineLevel="0" collapsed="false">
      <c r="G49" s="2" t="b">
        <f aca="false">AND(B2&gt;1,C2="Αθήνα")</f>
        <v>1</v>
      </c>
    </row>
    <row r="50" customFormat="false" ht="15" hidden="false" customHeight="false" outlineLevel="0" collapsed="false">
      <c r="G50" s="0" t="n">
        <f aca="false">SUMIF(C2:C11,"Αθήνα",B2:B11)</f>
        <v>9.501</v>
      </c>
    </row>
    <row r="51" customFormat="false" ht="15" hidden="false" customHeight="false" outlineLevel="0" collapsed="false">
      <c r="G51" s="0" t="n">
        <f aca="false">SUMIF(B2:B11,"&gt;5")</f>
        <v>136.75</v>
      </c>
    </row>
    <row r="52" customFormat="false" ht="15" hidden="false" customHeight="false" outlineLevel="0" collapsed="false">
      <c r="G52" s="0" t="n">
        <f aca="false">COUNTIF(C2:C11,"Αθήνα")</f>
        <v>4</v>
      </c>
    </row>
    <row r="53" customFormat="false" ht="15" hidden="false" customHeight="false" outlineLevel="0" collapsed="false">
      <c r="G53" s="0" t="n">
        <f aca="false">COUNTIF(B2:B11,"&gt;=9")</f>
        <v>4</v>
      </c>
    </row>
    <row r="54" customFormat="false" ht="15" hidden="false" customHeight="false" outlineLevel="0" collapsed="false">
      <c r="G54" s="0" t="n">
        <f aca="false">COUNTIF(C2:C11,"Β*")</f>
        <v>2</v>
      </c>
    </row>
    <row r="55" customFormat="false" ht="15" hidden="false" customHeight="false" outlineLevel="0" collapsed="false">
      <c r="G55" s="0" t="n">
        <f aca="false">COUNTIF(C2:C11,"&lt;&gt;Αθήνα")</f>
        <v>6</v>
      </c>
    </row>
    <row r="56" customFormat="false" ht="15" hidden="false" customHeight="false" outlineLevel="0" collapsed="false">
      <c r="G56" s="0" t="n">
        <f aca="false">COUNTIF(B2:B11,"")</f>
        <v>1</v>
      </c>
    </row>
    <row r="57" customFormat="false" ht="15" hidden="false" customHeight="false" outlineLevel="0" collapsed="false">
      <c r="G57" s="0" t="n">
        <f aca="false">AVERAGEIF(C2:C11,"Πάτρα",B2:B11)</f>
        <v>9</v>
      </c>
    </row>
    <row r="58" customFormat="false" ht="15" hidden="false" customHeight="false" outlineLevel="0" collapsed="false">
      <c r="G58" s="0" t="n">
        <f aca="false">SUMIFS(B2:B11,C2:C11,"Αθήνα",E2:E11,TRUE())</f>
        <v>9.501</v>
      </c>
    </row>
    <row r="59" customFormat="false" ht="15" hidden="false" customHeight="false" outlineLevel="0" collapsed="false">
      <c r="G59" s="0" t="n">
        <f aca="false">COUNTIFS(C2:C11,"Βόλος",B2:B11,"&gt;50")</f>
        <v>1</v>
      </c>
    </row>
    <row r="60" customFormat="false" ht="15" hidden="false" customHeight="false" outlineLevel="0" collapsed="false">
      <c r="G60" s="0" t="n">
        <f aca="false">AVERAGEIFS(B2:B11,E2:E11,FALSE())</f>
        <v>3.89166666666667</v>
      </c>
    </row>
    <row r="61" customFormat="false" ht="15" hidden="false" customHeight="false" outlineLevel="0" collapsed="false">
      <c r="G61" s="0" t="n">
        <f aca="false">_xlfn.MAXIFS(B2:B11,C2:C11,"Αθήνα")</f>
        <v>12.5</v>
      </c>
    </row>
    <row r="62" customFormat="false" ht="15" hidden="false" customHeight="false" outlineLevel="0" collapsed="false">
      <c r="G62" s="0" t="n">
        <f aca="false">_xlfn.MINIFS(B2:B11,C2:C11,"Βόλος")</f>
        <v>0</v>
      </c>
    </row>
    <row r="63" customFormat="false" ht="15" hidden="false" customHeight="false" outlineLevel="0" collapsed="false">
      <c r="G63" s="0" t="str">
        <f aca="false">VLOOKUP("Δήμου",A2:C11,3,FALSE())</f>
        <v>Λάρισα</v>
      </c>
    </row>
    <row r="64" customFormat="false" ht="15" hidden="false" customHeight="false" outlineLevel="0" collapsed="false">
      <c r="G64" s="0" t="n">
        <f aca="false">VLOOKUP("δήμου",A2:B11,2,0)</f>
        <v>15.25</v>
      </c>
    </row>
    <row r="65" customFormat="false" ht="15" hidden="false" customHeight="false" outlineLevel="0" collapsed="false">
      <c r="G65" s="0" t="e">
        <f aca="false">VLOOKUP("zz",A2:B11,2,FALSE())</f>
        <v>#N/A</v>
      </c>
    </row>
    <row r="66" customFormat="false" ht="15" hidden="false" customHeight="false" outlineLevel="0" collapsed="false">
      <c r="G66" s="0" t="n">
        <f aca="false">VLOOKUP(2.5,Data!B2:B5,1,TRUE())</f>
        <v>2</v>
      </c>
    </row>
    <row r="67" customFormat="false" ht="15" hidden="false" customHeight="false" outlineLevel="0" collapsed="false">
      <c r="G67" s="0" t="n">
        <f aca="false">VLOOKUP("c",Data!A2:B5,2,FALSE())</f>
        <v>3</v>
      </c>
    </row>
    <row r="68" customFormat="false" ht="15" hidden="false" customHeight="false" outlineLevel="0" collapsed="false">
      <c r="G68" s="0" t="str">
        <f aca="false">HLOOKUP("Town",A1:E3,2,FALSE())</f>
        <v>Αθήνα</v>
      </c>
    </row>
    <row r="69" customFormat="false" ht="15" hidden="false" customHeight="false" outlineLevel="0" collapsed="false">
      <c r="G69" s="0" t="n">
        <f aca="false">MATCH("Λάρισα",C2:C11,0)</f>
        <v>4</v>
      </c>
    </row>
    <row r="70" customFormat="false" ht="15" hidden="false" customHeight="false" outlineLevel="0" collapsed="false">
      <c r="G70" s="0" t="n">
        <f aca="false">MATCH(3,Data!B2:B5,1)</f>
        <v>3</v>
      </c>
    </row>
    <row r="71" customFormat="false" ht="15" hidden="false" customHeight="false" outlineLevel="0" collapsed="false">
      <c r="G71" s="0" t="n">
        <f aca="false">MATCH("b*",Data!A2:A5,0)</f>
        <v>2</v>
      </c>
    </row>
    <row r="72" customFormat="false" ht="15" hidden="false" customHeight="false" outlineLevel="0" collapsed="false">
      <c r="G72" s="0" t="str">
        <f aca="false">INDEX(A2:C11,4,3)</f>
        <v>Λάρισα</v>
      </c>
    </row>
    <row r="73" customFormat="false" ht="15" hidden="false" customHeight="false" outlineLevel="0" collapsed="false">
      <c r="G73" s="0" t="n">
        <f aca="false">INDEX(Data!B2:B5,2)</f>
        <v>2</v>
      </c>
    </row>
    <row r="74" customFormat="false" ht="15" hidden="false" customHeight="false" outlineLevel="0" collapsed="false">
      <c r="G74" s="0" t="str">
        <f aca="false">INDEX(Data!A2:B5,MATCH(3,Data!B2:B5,0),1)</f>
        <v>c</v>
      </c>
    </row>
    <row r="75" customFormat="false" ht="15" hidden="false" customHeight="false" outlineLevel="0" collapsed="false">
      <c r="G75" s="0" t="str">
        <f aca="false">CHOOSE(2,"a","b","c")</f>
        <v>b</v>
      </c>
    </row>
    <row r="76" customFormat="false" ht="15" hidden="false" customHeight="false" outlineLevel="0" collapsed="false">
      <c r="G76" s="0" t="n">
        <f aca="false">RANK(B5,B2:B11)</f>
        <v>2</v>
      </c>
    </row>
    <row r="77" customFormat="false" ht="15" hidden="false" customHeight="false" outlineLevel="0" collapsed="false">
      <c r="G77" s="0" t="n">
        <f aca="false">RANK(B5,B2:B11,1)</f>
        <v>7</v>
      </c>
    </row>
    <row r="78" customFormat="false" ht="15" hidden="false" customHeight="false" outlineLevel="0" collapsed="false">
      <c r="G78" s="0" t="n">
        <f aca="false">LARGE(B2:B11,2)</f>
        <v>15.25</v>
      </c>
    </row>
    <row r="79" customFormat="false" ht="15" hidden="false" customHeight="false" outlineLevel="0" collapsed="false">
      <c r="G79" s="0" t="n">
        <f aca="false">SMALL(B2:B11,2)</f>
        <v>0</v>
      </c>
    </row>
    <row r="80" customFormat="false" ht="15" hidden="false" customHeight="false" outlineLevel="0" collapsed="false">
      <c r="G80" s="0" t="str">
        <f aca="false">CONCATENATE(A2,"-",B2)</f>
        <v>Αλεξίου-12,5</v>
      </c>
    </row>
    <row r="81" customFormat="false" ht="15" hidden="false" customHeight="false" outlineLevel="0" collapsed="false">
      <c r="G81" s="0" t="n">
        <f aca="false">LEN(A2)</f>
        <v>7</v>
      </c>
    </row>
    <row r="82" customFormat="false" ht="15" hidden="false" customHeight="false" outlineLevel="0" collapsed="false">
      <c r="G82" s="0" t="str">
        <f aca="false">UPPER(A9)</f>
        <v>APPLE PIE</v>
      </c>
    </row>
    <row r="83" customFormat="false" ht="15" hidden="false" customHeight="false" outlineLevel="0" collapsed="false">
      <c r="G83" s="0" t="str">
        <f aca="false">LOWER(A3)</f>
        <v>βασιλείου</v>
      </c>
    </row>
    <row r="84" customFormat="false" ht="15" hidden="false" customHeight="false" outlineLevel="0" collapsed="false">
      <c r="G84" s="0" t="str">
        <f aca="false">PROPER("hello big world")</f>
        <v>Hello Big World</v>
      </c>
    </row>
    <row r="85" customFormat="false" ht="15" hidden="false" customHeight="false" outlineLevel="0" collapsed="false">
      <c r="G85" s="0" t="str">
        <f aca="false">TRIM("  a   b  ")</f>
        <v>a b</v>
      </c>
    </row>
    <row r="86" customFormat="false" ht="15" hidden="false" customHeight="false" outlineLevel="0" collapsed="false">
      <c r="G86" s="0" t="str">
        <f aca="false">LEFT(A2,3)</f>
        <v>Αλε</v>
      </c>
    </row>
    <row r="87" customFormat="false" ht="15" hidden="false" customHeight="false" outlineLevel="0" collapsed="false">
      <c r="G87" s="0" t="str">
        <f aca="false">RIGHT(A2,2)</f>
        <v>ου</v>
      </c>
    </row>
    <row r="88" customFormat="false" ht="15" hidden="false" customHeight="false" outlineLevel="0" collapsed="false">
      <c r="G88" s="0" t="str">
        <f aca="false">MID(A9,7,3)</f>
        <v>pie</v>
      </c>
    </row>
    <row r="89" customFormat="false" ht="15" hidden="false" customHeight="false" outlineLevel="0" collapsed="false">
      <c r="G89" s="0" t="str">
        <f aca="false">SUBSTITUTE(A9,"pie","tart")</f>
        <v>apple tart</v>
      </c>
    </row>
    <row r="90" customFormat="false" ht="15" hidden="false" customHeight="false" outlineLevel="0" collapsed="false">
      <c r="G90" s="0" t="str">
        <f aca="false">REPT("ab",3)</f>
        <v>ababab</v>
      </c>
    </row>
    <row r="91" customFormat="false" ht="15" hidden="false" customHeight="false" outlineLevel="0" collapsed="false">
      <c r="G91" s="0" t="n">
        <f aca="false">FIND("p",A9)</f>
        <v>2</v>
      </c>
    </row>
    <row r="92" customFormat="false" ht="15" hidden="false" customHeight="false" outlineLevel="0" collapsed="false">
      <c r="G92" s="0" t="n">
        <f aca="false">SEARCH("P",A9)</f>
        <v>2</v>
      </c>
    </row>
    <row r="93" customFormat="false" ht="15" hidden="false" customHeight="false" outlineLevel="0" collapsed="false">
      <c r="G93" s="0" t="n">
        <f aca="false">VALUE("12")</f>
        <v>12</v>
      </c>
    </row>
    <row r="94" customFormat="false" ht="15" hidden="false" customHeight="false" outlineLevel="0" collapsed="false">
      <c r="G94" s="2" t="b">
        <f aca="false">EXACT("a","A")</f>
        <v>0</v>
      </c>
    </row>
    <row r="95" customFormat="false" ht="15" hidden="false" customHeight="false" outlineLevel="0" collapsed="false">
      <c r="G95" s="0" t="str">
        <f aca="false">TEXT(B2,"0.00")</f>
        <v>12,50</v>
      </c>
    </row>
    <row r="96" customFormat="false" ht="15" hidden="false" customHeight="false" outlineLevel="0" collapsed="false">
      <c r="G96" s="0" t="str">
        <f aca="false">TEXT(D2,"dd/mm/yyyy")</f>
        <v>15/03/2026</v>
      </c>
    </row>
    <row r="97" customFormat="false" ht="15" hidden="false" customHeight="false" outlineLevel="0" collapsed="false">
      <c r="G97" s="4" t="n">
        <f aca="false">DATE(2026,2,30)</f>
        <v>46083</v>
      </c>
    </row>
    <row r="98" customFormat="false" ht="15" hidden="false" customHeight="false" outlineLevel="0" collapsed="false">
      <c r="G98" s="4" t="n">
        <f aca="false">DATE(2026,13,1)</f>
        <v>46388</v>
      </c>
    </row>
    <row r="99" customFormat="false" ht="15" hidden="false" customHeight="false" outlineLevel="0" collapsed="false">
      <c r="G99" s="0" t="n">
        <f aca="false">YEAR(D2)</f>
        <v>2026</v>
      </c>
    </row>
    <row r="100" customFormat="false" ht="15" hidden="false" customHeight="false" outlineLevel="0" collapsed="false">
      <c r="G100" s="0" t="n">
        <f aca="false">MONTH(D2)</f>
        <v>3</v>
      </c>
    </row>
    <row r="101" customFormat="false" ht="15" hidden="false" customHeight="false" outlineLevel="0" collapsed="false">
      <c r="G101" s="0" t="n">
        <f aca="false">DAY(D5)</f>
        <v>29</v>
      </c>
    </row>
    <row r="102" customFormat="false" ht="15" hidden="false" customHeight="false" outlineLevel="0" collapsed="false">
      <c r="G102" s="0" t="n">
        <f aca="false">WEEKDAY(D2)</f>
        <v>1</v>
      </c>
    </row>
    <row r="103" customFormat="false" ht="15" hidden="false" customHeight="false" outlineLevel="0" collapsed="false">
      <c r="G103" s="0" t="n">
        <f aca="false">WEEKDAY(D2,2)</f>
        <v>7</v>
      </c>
    </row>
    <row r="104" customFormat="false" ht="15" hidden="false" customHeight="false" outlineLevel="0" collapsed="false">
      <c r="G104" s="0" t="n">
        <f aca="false">D2-D3</f>
        <v>74</v>
      </c>
    </row>
    <row r="105" customFormat="false" ht="15" hidden="false" customHeight="false" outlineLevel="0" collapsed="false">
      <c r="G105" s="0" t="n">
        <f aca="false">EDATE(D2,1)</f>
        <v>46127</v>
      </c>
    </row>
    <row r="106" customFormat="false" ht="15" hidden="false" customHeight="false" outlineLevel="0" collapsed="false">
      <c r="G106" s="0" t="n">
        <f aca="false">EOMONTH(D2,0)</f>
        <v>46112</v>
      </c>
    </row>
    <row r="107" customFormat="false" ht="15" hidden="false" customHeight="false" outlineLevel="0" collapsed="false">
      <c r="G107" s="0" t="n">
        <f aca="false">_xlfn.DAYS(D2,D3)</f>
        <v>74</v>
      </c>
    </row>
    <row r="108" customFormat="false" ht="15" hidden="false" customHeight="false" outlineLevel="0" collapsed="false">
      <c r="G108" s="2" t="b">
        <f aca="false">ISBLANK(B4)</f>
        <v>1</v>
      </c>
    </row>
    <row r="109" customFormat="false" ht="15" hidden="false" customHeight="false" outlineLevel="0" collapsed="false">
      <c r="G109" s="2" t="b">
        <f aca="false">ISBLANK(B2)</f>
        <v>0</v>
      </c>
    </row>
    <row r="110" customFormat="false" ht="15" hidden="false" customHeight="false" outlineLevel="0" collapsed="false">
      <c r="G110" s="2" t="b">
        <f aca="false">ISNUMBER(B6)</f>
        <v>0</v>
      </c>
    </row>
    <row r="111" customFormat="false" ht="15" hidden="false" customHeight="false" outlineLevel="0" collapsed="false">
      <c r="G111" s="2" t="b">
        <f aca="false">ISNUMBER(B2)</f>
        <v>1</v>
      </c>
    </row>
    <row r="112" customFormat="false" ht="15" hidden="false" customHeight="false" outlineLevel="0" collapsed="false">
      <c r="G112" s="2" t="b">
        <f aca="false">ISTEXT(B6)</f>
        <v>1</v>
      </c>
    </row>
    <row r="113" customFormat="false" ht="15" hidden="false" customHeight="false" outlineLevel="0" collapsed="false">
      <c r="G113" s="2" t="b">
        <f aca="false">ISERROR(B2/B8)</f>
        <v>1</v>
      </c>
    </row>
    <row r="114" customFormat="false" ht="15" hidden="false" customHeight="false" outlineLevel="0" collapsed="false">
      <c r="G114" s="2" t="b">
        <f aca="false">ISNA(VLOOKUP("zz",A2:B11,2,FALSE()))</f>
        <v>1</v>
      </c>
    </row>
    <row r="115" customFormat="false" ht="15" hidden="false" customHeight="false" outlineLevel="0" collapsed="false">
      <c r="G115" s="0" t="str">
        <f aca="false">_xlfn.IFNA(VLOOKUP("zz",A2:B11,2,FALSE()),"none")</f>
        <v>none</v>
      </c>
    </row>
    <row r="116" customFormat="false" ht="15" hidden="false" customHeight="false" outlineLevel="0" collapsed="false">
      <c r="G116" s="0" t="n">
        <f aca="false">ROWS(A2:C11)</f>
        <v>10</v>
      </c>
    </row>
    <row r="117" customFormat="false" ht="15" hidden="false" customHeight="false" outlineLevel="0" collapsed="false">
      <c r="G117" s="0" t="n">
        <f aca="false">COLUMNS(A2:C11)</f>
        <v>3</v>
      </c>
    </row>
    <row r="118" customFormat="false" ht="15" hidden="false" customHeight="false" outlineLevel="0" collapsed="false">
      <c r="G118" s="0" t="n">
        <f aca="false">SUM(Data!B2:B5)</f>
        <v>10</v>
      </c>
    </row>
    <row r="119" customFormat="false" ht="15" hidden="false" customHeight="false" outlineLevel="0" collapsed="false">
      <c r="G119" s="0" t="n">
        <f aca="false">Data!B3*10</f>
        <v>20</v>
      </c>
    </row>
    <row r="120" customFormat="false" ht="15" hidden="false" customHeight="false" outlineLevel="0" collapsed="false">
      <c r="G120" s="0" t="n">
        <f aca="false">STDEV(B2:B11)</f>
        <v>34.1414315573573</v>
      </c>
    </row>
    <row r="121" customFormat="false" ht="15" hidden="false" customHeight="false" outlineLevel="0" collapsed="false">
      <c r="G121" s="0" t="n">
        <f aca="false">VAR(B2:B11)</f>
        <v>1165.63734878571</v>
      </c>
    </row>
    <row r="122" customFormat="false" ht="15" hidden="false" customHeight="false" outlineLevel="0" collapsed="false">
      <c r="G122" s="0" t="n">
        <f aca="false">STDEVP(B2:B11)</f>
        <v>31.9363848954057</v>
      </c>
    </row>
    <row r="123" customFormat="false" ht="15" hidden="false" customHeight="false" outlineLevel="0" collapsed="false">
      <c r="G123" s="0" t="str">
        <f aca="false">_xlfn.TEXTJOIN(", ",TRUE(),C2:C5)</f>
        <v>Αθήνα, Πάτρα, Αθήνα, Λάρισα</v>
      </c>
    </row>
    <row r="124" customFormat="false" ht="15" hidden="false" customHeight="false" outlineLevel="0" collapsed="false">
      <c r="G124" s="0" t="n">
        <f aca="false">SUM(B2:B11)/COUNT(B2:B11)</f>
        <v>17.05325</v>
      </c>
    </row>
    <row r="125" customFormat="false" ht="15" hidden="false" customHeight="false" outlineLevel="0" collapsed="false">
      <c r="G125" s="0" t="n">
        <f aca="false">(B2+B3)*(B5-B7)/2</f>
        <v>196.1875</v>
      </c>
    </row>
    <row r="126" customFormat="false" ht="15" hidden="false" customHeight="false" outlineLevel="0" collapsed="false">
      <c r="G126" s="0" t="str">
        <f aca="false">"a"&amp;1.5</f>
        <v>a1,5</v>
      </c>
    </row>
    <row r="127" customFormat="false" ht="15" hidden="false" customHeight="false" outlineLevel="0" collapsed="false">
      <c r="G127" s="0" t="str">
        <f aca="false">B2&amp;""</f>
        <v>12,5</v>
      </c>
    </row>
    <row r="128" customFormat="false" ht="15" hidden="false" customHeight="false" outlineLevel="0" collapsed="false">
      <c r="G128" s="0" t="str">
        <f aca="false">_xlfn.XLOOKUP("Λάρισα",C2:C11,A2:A11)</f>
        <v>Δήμου</v>
      </c>
    </row>
    <row r="129" customFormat="false" ht="15" hidden="false" customHeight="false" outlineLevel="0" collapsed="false">
      <c r="G129" s="0" t="n">
        <f aca="false">MROUND(10,3)</f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21</v>
      </c>
      <c r="B1" s="0" t="s">
        <v>22</v>
      </c>
    </row>
    <row r="2" customFormat="false" ht="15" hidden="false" customHeight="false" outlineLevel="0" collapsed="false">
      <c r="A2" s="0" t="s">
        <v>23</v>
      </c>
      <c r="B2" s="0" t="n">
        <v>1</v>
      </c>
    </row>
    <row r="3" customFormat="false" ht="15" hidden="false" customHeight="false" outlineLevel="0" collapsed="false">
      <c r="A3" s="0" t="s">
        <v>24</v>
      </c>
      <c r="B3" s="0" t="n">
        <v>2</v>
      </c>
    </row>
    <row r="4" customFormat="false" ht="15" hidden="false" customHeight="false" outlineLevel="0" collapsed="false">
      <c r="A4" s="0" t="s">
        <v>25</v>
      </c>
      <c r="B4" s="0" t="n">
        <v>3</v>
      </c>
    </row>
    <row r="5" customFormat="false" ht="15" hidden="false" customHeight="false" outlineLevel="0" collapsed="false">
      <c r="A5" s="0" t="s">
        <v>26</v>
      </c>
      <c r="B5" s="0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2026-10-16T03:58:23Z</dcterms:created>
  <dc:creator>openpyxl</dc:creator>
  <dc:description/>
  <dc:language>el-GR</dc:language>
  <cp:lastModifiedBy/>
  <dcterms:modified xsi:type="dcterms:W3CDTF">2026-10-16T03:58:23Z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